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showInkAnnotation="0"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C:\Users\Gizon\Desktop\Учёба\Ex8\"/>
    </mc:Choice>
  </mc:AlternateContent>
  <xr:revisionPtr revIDLastSave="0" documentId="13_ncr:1_{1807868D-D1D1-4A66-81C4-3C7C1E0F6BDF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Таблицы" sheetId="1" r:id="rId1"/>
    <sheet name="Форма" sheetId="2" r:id="rId2"/>
    <sheet name="Справка" sheetId="3" r:id="rId3"/>
  </sheets>
  <externalReferences>
    <externalReference r:id="rId4"/>
  </externalReferences>
  <definedNames>
    <definedName name="куда">[1]Данные!$I:$I</definedName>
    <definedName name="номер">[1]Данные!$G:$G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3" l="1"/>
  <c r="J10" i="3" a="1"/>
  <c r="J10" i="3"/>
  <c r="J8" i="3" a="1"/>
  <c r="J8" i="3"/>
  <c r="H7" i="3"/>
  <c r="J6" i="3"/>
  <c r="J5" i="3"/>
  <c r="H1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<sst xmlns="http://schemas.openxmlformats.org/spreadsheetml/2006/main" count="72" uniqueCount="71">
  <si>
    <t>Группы</t>
  </si>
  <si>
    <t>MT-101</t>
  </si>
  <si>
    <t>MT-102</t>
  </si>
  <si>
    <t>MT-103</t>
  </si>
  <si>
    <t>MT-104</t>
  </si>
  <si>
    <t>MT-105</t>
  </si>
  <si>
    <t>MT-106</t>
  </si>
  <si>
    <t>MT-201</t>
  </si>
  <si>
    <t>MT-202</t>
  </si>
  <si>
    <t>MT-203</t>
  </si>
  <si>
    <t>MT-204</t>
  </si>
  <si>
    <t>MT-205</t>
  </si>
  <si>
    <t>MT-206</t>
  </si>
  <si>
    <t>MT-306</t>
  </si>
  <si>
    <t>MT-301</t>
  </si>
  <si>
    <t>MT-302</t>
  </si>
  <si>
    <t>MT-303</t>
  </si>
  <si>
    <t>MT-304</t>
  </si>
  <si>
    <t>MT-305</t>
  </si>
  <si>
    <t>MT-401</t>
  </si>
  <si>
    <t>MT-402</t>
  </si>
  <si>
    <t>MT-403</t>
  </si>
  <si>
    <t>MT-404</t>
  </si>
  <si>
    <t>MT-405</t>
  </si>
  <si>
    <t>MT-406</t>
  </si>
  <si>
    <t>MT-501</t>
  </si>
  <si>
    <t>MT-502</t>
  </si>
  <si>
    <t>MT-503</t>
  </si>
  <si>
    <t>MT-504</t>
  </si>
  <si>
    <t>MX-101</t>
  </si>
  <si>
    <t>MX-201</t>
  </si>
  <si>
    <t>MX-301</t>
  </si>
  <si>
    <t>MX-401</t>
  </si>
  <si>
    <t>MX-501</t>
  </si>
  <si>
    <t>МГ-501</t>
  </si>
  <si>
    <t>МГ-601</t>
  </si>
  <si>
    <t>Специальность</t>
  </si>
  <si>
    <t>математика</t>
  </si>
  <si>
    <t>механика</t>
  </si>
  <si>
    <t>компьютерные науки</t>
  </si>
  <si>
    <t>компьютерная безопасность</t>
  </si>
  <si>
    <t>КН-101</t>
  </si>
  <si>
    <t>КН-201</t>
  </si>
  <si>
    <t>КН-301</t>
  </si>
  <si>
    <t>КН-401</t>
  </si>
  <si>
    <t>КН-501</t>
  </si>
  <si>
    <t>КБ-101</t>
  </si>
  <si>
    <t>КБ-201</t>
  </si>
  <si>
    <t>КБ-301</t>
  </si>
  <si>
    <t>КБ-401</t>
  </si>
  <si>
    <t>КБ-501</t>
  </si>
  <si>
    <t>СПРАВКА</t>
  </si>
  <si>
    <t xml:space="preserve">Выдана </t>
  </si>
  <si>
    <t>ФИО</t>
  </si>
  <si>
    <t>является студентом группы</t>
  </si>
  <si>
    <t>специальность</t>
  </si>
  <si>
    <t>№</t>
  </si>
  <si>
    <t>Справка дана для предъявления</t>
  </si>
  <si>
    <t>Секретарь</t>
  </si>
  <si>
    <t xml:space="preserve">в том, что </t>
  </si>
  <si>
    <t>действительно</t>
  </si>
  <si>
    <t>год рождения</t>
  </si>
  <si>
    <t>Министерство науки и высшего образования Российской Федерации</t>
  </si>
  <si>
    <t>Уральский федеральный университет имени первого Президента России Б.Н. Ельцина</t>
  </si>
  <si>
    <t>Уральского федерального университета имени первого Президента России Б.Н. Ельцина</t>
  </si>
  <si>
    <t>Директор департамента</t>
  </si>
  <si>
    <t>Ф.И.О.</t>
  </si>
  <si>
    <t xml:space="preserve"> </t>
  </si>
  <si>
    <t xml:space="preserve">Иванову Ивану Ивановичу </t>
  </si>
  <si>
    <r>
      <t xml:space="preserve">Группа </t>
    </r>
    <r>
      <rPr>
        <i/>
        <sz val="10"/>
        <rFont val="Calibri"/>
        <family val="2"/>
        <charset val="204"/>
      </rPr>
      <t>№</t>
    </r>
  </si>
  <si>
    <t>Год рождения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</si>
</sst>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 Cyr"/>
    </font>
    <font>
      <b/>
      <sz val="10"/>
      <name val="Arial Cyr"/>
    </font>
    <font>
      <sz val="8"/>
      <name val="Arial Cyr"/>
    </font>
    <font>
      <b/>
      <sz val="12"/>
      <name val="Arial Cyr"/>
    </font>
    <font>
      <i/>
      <sz val="10"/>
      <name val="Arial Cyr"/>
      <charset val="204"/>
    </font>
    <font>
      <i/>
      <sz val="10"/>
      <name val="Calibri"/>
      <family val="2"/>
      <charset val="204"/>
    </font>
    <font>
      <sz val="10"/>
      <name val="Arial Cyr"/>
      <charset val="204"/>
    </font>
    <font>
      <sz val="8"/>
      <name val="Segoe U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3" fillId="2" borderId="0" xfId="0" applyFont="1" applyFill="1" applyBorder="1"/>
    <xf numFmtId="0" fontId="0" fillId="2" borderId="0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0" fillId="2" borderId="6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2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3" borderId="0" xfId="0" applyFill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top"/>
    </xf>
    <xf numFmtId="14" fontId="3" fillId="2" borderId="0" xfId="0" applyNumberFormat="1" applyFont="1" applyFill="1" applyBorder="1"/>
  </cellXfs>
  <cellStyles count="1">
    <cellStyle name="Обычный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6" fmlaLink="$L$4" max="2002" min="1970" page="10" val="2002"/>
</file>

<file path=xl/ctrlProps/ctrlProp2.xml><?xml version="1.0" encoding="utf-8"?>
<formControlPr xmlns="http://schemas.microsoft.com/office/spreadsheetml/2009/9/main" objectType="Radio" checked="Checked" firstButton="1" fmlaLink="$D$48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6" fmlaLink="$F$48" fmlaRange="Таблицы!$A$2:$A$46" noThreeD="1" sel="15" val="12"/>
</file>

<file path=xl/ctrlProps/ctrlProp5.xml><?xml version="1.0" encoding="utf-8"?>
<formControlPr xmlns="http://schemas.microsoft.com/office/spreadsheetml/2009/9/main" objectType="Drop" dropStyle="combo" dx="26" fmlaLink="$H$48" fmlaRange="Таблицы!$C$2:$C$5" noThreeD="1" sel="2" val="0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579120</xdr:colOff>
          <xdr:row>2</xdr:row>
          <xdr:rowOff>68580</xdr:rowOff>
        </xdr:from>
        <xdr:to>
          <xdr:col>12</xdr:col>
          <xdr:colOff>556260</xdr:colOff>
          <xdr:row>6</xdr:row>
          <xdr:rowOff>106680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213360</xdr:colOff>
          <xdr:row>7</xdr:row>
          <xdr:rowOff>99060</xdr:rowOff>
        </xdr:from>
        <xdr:to>
          <xdr:col>10</xdr:col>
          <xdr:colOff>502920</xdr:colOff>
          <xdr:row>11</xdr:row>
          <xdr:rowOff>15240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Мужской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10</xdr:row>
          <xdr:rowOff>15240</xdr:rowOff>
        </xdr:from>
        <xdr:to>
          <xdr:col>10</xdr:col>
          <xdr:colOff>274320</xdr:colOff>
          <xdr:row>11</xdr:row>
          <xdr:rowOff>60960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Женский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</xdr:row>
          <xdr:rowOff>68580</xdr:rowOff>
        </xdr:from>
        <xdr:to>
          <xdr:col>7</xdr:col>
          <xdr:colOff>327660</xdr:colOff>
          <xdr:row>6</xdr:row>
          <xdr:rowOff>76200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7</xdr:row>
          <xdr:rowOff>76200</xdr:rowOff>
        </xdr:from>
        <xdr:to>
          <xdr:col>7</xdr:col>
          <xdr:colOff>358140</xdr:colOff>
          <xdr:row>8</xdr:row>
          <xdr:rowOff>137160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525780</xdr:colOff>
          <xdr:row>14</xdr:row>
          <xdr:rowOff>38100</xdr:rowOff>
        </xdr:from>
        <xdr:to>
          <xdr:col>11</xdr:col>
          <xdr:colOff>327660</xdr:colOff>
          <xdr:row>17</xdr:row>
          <xdr:rowOff>15240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F\&#1087;&#1088;_Excel\&#1044;&#1083;&#1103;%20&#1087;&#1088;&#1077;&#1087;&#1086;&#1076;&#1072;&#1074;&#1072;&#1090;&#1077;&#1083;&#1103;\&#1048;&#1090;&#1086;&#1075;&#1080;%20&#1076;&#1086;&#1087;&#1086;&#1083;&#1085;&#1080;&#1090;&#1077;&#1083;&#1100;&#1085;&#1099;&#1093;\&#1057;&#1087;&#1088;&#1072;&#1074;&#1082;&#1072;_&#1076;&#1083;&#1103;%20&#1089;&#1090;&#1091;&#1076;&#1077;&#1085;&#1090;&#1086;&#107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равка"/>
      <sheetName val="Лист3"/>
    </sheetNames>
    <sheetDataSet>
      <sheetData sheetId="0">
        <row r="1">
          <cell r="G1" t="str">
            <v>№ справки</v>
          </cell>
          <cell r="I1" t="str">
            <v>Куда справка</v>
          </cell>
        </row>
        <row r="2">
          <cell r="G2">
            <v>1</v>
          </cell>
          <cell r="I2" t="str">
            <v>по месту требования</v>
          </cell>
        </row>
        <row r="3">
          <cell r="G3">
            <v>2</v>
          </cell>
          <cell r="I3" t="str">
            <v>по месту требования</v>
          </cell>
        </row>
        <row r="4">
          <cell r="G4">
            <v>3</v>
          </cell>
          <cell r="I4" t="str">
            <v>по месту требования</v>
          </cell>
        </row>
        <row r="5">
          <cell r="G5">
            <v>4</v>
          </cell>
          <cell r="I5" t="str">
            <v>по месту требования</v>
          </cell>
        </row>
        <row r="6">
          <cell r="G6">
            <v>5</v>
          </cell>
          <cell r="I6" t="str">
            <v>по месту требования</v>
          </cell>
        </row>
        <row r="7">
          <cell r="G7">
            <v>6</v>
          </cell>
          <cell r="I7" t="str">
            <v>по месту требования</v>
          </cell>
        </row>
        <row r="8">
          <cell r="G8">
            <v>7</v>
          </cell>
          <cell r="I8" t="str">
            <v>по месту требования</v>
          </cell>
        </row>
        <row r="9">
          <cell r="G9">
            <v>8</v>
          </cell>
          <cell r="I9" t="str">
            <v>по месту требования</v>
          </cell>
        </row>
        <row r="10">
          <cell r="G10">
            <v>9</v>
          </cell>
          <cell r="I10" t="str">
            <v>по месту требования</v>
          </cell>
        </row>
        <row r="11">
          <cell r="G11">
            <v>10</v>
          </cell>
          <cell r="I11" t="str">
            <v>в военкомат</v>
          </cell>
        </row>
        <row r="12">
          <cell r="G12">
            <v>11</v>
          </cell>
          <cell r="I12" t="str">
            <v>по месту требования</v>
          </cell>
        </row>
        <row r="13">
          <cell r="G13">
            <v>12</v>
          </cell>
          <cell r="I13" t="str">
            <v>по месту требования</v>
          </cell>
        </row>
        <row r="14">
          <cell r="G14">
            <v>13</v>
          </cell>
          <cell r="I14" t="str">
            <v>по месту требования</v>
          </cell>
        </row>
        <row r="15">
          <cell r="G15">
            <v>14</v>
          </cell>
          <cell r="I15" t="str">
            <v>по месту требования</v>
          </cell>
        </row>
        <row r="16">
          <cell r="G16">
            <v>15</v>
          </cell>
          <cell r="I16" t="str">
            <v>в ЖЭК</v>
          </cell>
        </row>
        <row r="17">
          <cell r="G17">
            <v>16</v>
          </cell>
          <cell r="I17" t="str">
            <v>по месту требования</v>
          </cell>
        </row>
        <row r="18">
          <cell r="G18">
            <v>17</v>
          </cell>
          <cell r="I18" t="str">
            <v>в паспортный стол</v>
          </cell>
        </row>
        <row r="19">
          <cell r="G19">
            <v>18</v>
          </cell>
          <cell r="I19" t="str">
            <v>в паспортный стол</v>
          </cell>
        </row>
        <row r="20">
          <cell r="G20">
            <v>19</v>
          </cell>
          <cell r="I20" t="str">
            <v>в ЖЭК</v>
          </cell>
        </row>
        <row r="21">
          <cell r="G21">
            <v>20</v>
          </cell>
          <cell r="I21" t="str">
            <v>по месту требования</v>
          </cell>
        </row>
        <row r="22">
          <cell r="G22">
            <v>21</v>
          </cell>
          <cell r="I22" t="str">
            <v>по месту требования</v>
          </cell>
        </row>
        <row r="23">
          <cell r="G23">
            <v>22</v>
          </cell>
          <cell r="I23" t="str">
            <v>в паспортный стол</v>
          </cell>
        </row>
        <row r="24">
          <cell r="G24">
            <v>23</v>
          </cell>
          <cell r="I24" t="str">
            <v>в ЖЭК</v>
          </cell>
        </row>
        <row r="25">
          <cell r="G25">
            <v>24</v>
          </cell>
          <cell r="I25" t="str">
            <v>по месту требования</v>
          </cell>
        </row>
        <row r="26">
          <cell r="G26">
            <v>25</v>
          </cell>
          <cell r="I26" t="str">
            <v>в военкомат</v>
          </cell>
        </row>
        <row r="27">
          <cell r="G27">
            <v>26</v>
          </cell>
          <cell r="I27" t="str">
            <v>по месту требования</v>
          </cell>
        </row>
        <row r="28">
          <cell r="G28">
            <v>27</v>
          </cell>
          <cell r="I28" t="str">
            <v>в ЖЭК</v>
          </cell>
        </row>
        <row r="29">
          <cell r="G29">
            <v>28</v>
          </cell>
          <cell r="I29" t="str">
            <v>в ЖЭК</v>
          </cell>
        </row>
        <row r="30">
          <cell r="G30">
            <v>29</v>
          </cell>
          <cell r="I30" t="str">
            <v>по месту требования</v>
          </cell>
        </row>
        <row r="31">
          <cell r="G31">
            <v>30</v>
          </cell>
          <cell r="I31" t="str">
            <v>по месту требования</v>
          </cell>
        </row>
        <row r="32">
          <cell r="G32">
            <v>31</v>
          </cell>
          <cell r="I32" t="str">
            <v>в ЖЭК</v>
          </cell>
        </row>
        <row r="33">
          <cell r="G33">
            <v>32</v>
          </cell>
          <cell r="I33" t="str">
            <v>по месту требования</v>
          </cell>
        </row>
        <row r="34">
          <cell r="G34">
            <v>33</v>
          </cell>
          <cell r="I34" t="str">
            <v>по месту требования</v>
          </cell>
        </row>
        <row r="35">
          <cell r="G35">
            <v>34</v>
          </cell>
          <cell r="I35" t="str">
            <v>по месту требования</v>
          </cell>
        </row>
        <row r="36">
          <cell r="G36">
            <v>35</v>
          </cell>
          <cell r="I36" t="str">
            <v>в паспортный стол</v>
          </cell>
        </row>
        <row r="37">
          <cell r="G37">
            <v>36</v>
          </cell>
          <cell r="I37" t="str">
            <v>по месту требования</v>
          </cell>
        </row>
        <row r="38">
          <cell r="G38">
            <v>37</v>
          </cell>
          <cell r="I38" t="str">
            <v>в военкомат</v>
          </cell>
        </row>
        <row r="39">
          <cell r="G39">
            <v>38</v>
          </cell>
          <cell r="I39" t="str">
            <v>по месту требования</v>
          </cell>
        </row>
        <row r="40">
          <cell r="G40">
            <v>39</v>
          </cell>
          <cell r="I40" t="str">
            <v>по месту требования</v>
          </cell>
        </row>
        <row r="41">
          <cell r="G41">
            <v>40</v>
          </cell>
          <cell r="I41" t="str">
            <v>в паспортный стол</v>
          </cell>
        </row>
        <row r="42">
          <cell r="G42">
            <v>41</v>
          </cell>
          <cell r="I42" t="str">
            <v>в паспортный стол</v>
          </cell>
        </row>
        <row r="43">
          <cell r="G43">
            <v>42</v>
          </cell>
          <cell r="I43" t="str">
            <v>по месту требования</v>
          </cell>
        </row>
        <row r="44">
          <cell r="G44">
            <v>43</v>
          </cell>
          <cell r="I44" t="str">
            <v>в военкомат</v>
          </cell>
        </row>
        <row r="45">
          <cell r="G45">
            <v>44</v>
          </cell>
          <cell r="I45" t="str">
            <v>по месту требования</v>
          </cell>
        </row>
        <row r="46">
          <cell r="G46">
            <v>45</v>
          </cell>
          <cell r="I46" t="str">
            <v>по месту требования</v>
          </cell>
        </row>
        <row r="47">
          <cell r="G47">
            <v>46</v>
          </cell>
          <cell r="I47" t="str">
            <v>по месту требования</v>
          </cell>
        </row>
        <row r="48">
          <cell r="G48">
            <v>47</v>
          </cell>
          <cell r="I48" t="str">
            <v>в военкомат</v>
          </cell>
        </row>
        <row r="49">
          <cell r="G49">
            <v>48</v>
          </cell>
          <cell r="I49" t="str">
            <v>в паспортный стол</v>
          </cell>
        </row>
        <row r="50">
          <cell r="G50">
            <v>49</v>
          </cell>
          <cell r="I50" t="str">
            <v>по месту требования</v>
          </cell>
        </row>
        <row r="51">
          <cell r="G51">
            <v>50</v>
          </cell>
          <cell r="I51" t="str">
            <v>по месту требования</v>
          </cell>
        </row>
        <row r="52">
          <cell r="G52">
            <v>51</v>
          </cell>
          <cell r="I52" t="str">
            <v>по месту требования</v>
          </cell>
        </row>
        <row r="53">
          <cell r="G53">
            <v>52</v>
          </cell>
          <cell r="I53" t="str">
            <v>по месту требования</v>
          </cell>
        </row>
        <row r="54">
          <cell r="G54">
            <v>53</v>
          </cell>
          <cell r="I54" t="str">
            <v>по месту требования</v>
          </cell>
        </row>
        <row r="55">
          <cell r="G55">
            <v>54</v>
          </cell>
          <cell r="I55" t="str">
            <v>в паспортный стол</v>
          </cell>
        </row>
        <row r="56">
          <cell r="G56">
            <v>55</v>
          </cell>
          <cell r="I56" t="str">
            <v>по месту требования</v>
          </cell>
        </row>
        <row r="57">
          <cell r="G57">
            <v>56</v>
          </cell>
          <cell r="I57" t="str">
            <v>по месту требования</v>
          </cell>
        </row>
        <row r="58">
          <cell r="G58">
            <v>57</v>
          </cell>
          <cell r="I58" t="str">
            <v>по месту требования</v>
          </cell>
        </row>
        <row r="59">
          <cell r="G59">
            <v>58</v>
          </cell>
          <cell r="I59" t="str">
            <v>в паспортный стол</v>
          </cell>
        </row>
        <row r="60">
          <cell r="G60">
            <v>59</v>
          </cell>
          <cell r="I60" t="str">
            <v>по месту требования</v>
          </cell>
        </row>
        <row r="61">
          <cell r="G61">
            <v>60</v>
          </cell>
          <cell r="I61" t="str">
            <v>по месту требования</v>
          </cell>
        </row>
        <row r="62">
          <cell r="G62">
            <v>61</v>
          </cell>
          <cell r="I62" t="str">
            <v>в паспортный стол</v>
          </cell>
        </row>
        <row r="63">
          <cell r="G63">
            <v>62</v>
          </cell>
          <cell r="I63" t="str">
            <v>по месту требования</v>
          </cell>
        </row>
        <row r="64">
          <cell r="G64">
            <v>63</v>
          </cell>
          <cell r="I64" t="str">
            <v>по месту требования</v>
          </cell>
        </row>
        <row r="65">
          <cell r="G65">
            <v>64</v>
          </cell>
          <cell r="I65" t="str">
            <v>по месту требования</v>
          </cell>
        </row>
        <row r="66">
          <cell r="G66">
            <v>65</v>
          </cell>
          <cell r="I66" t="str">
            <v>в военкомат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46"/>
  <sheetViews>
    <sheetView workbookViewId="0">
      <selection activeCell="C32" sqref="C32"/>
    </sheetView>
  </sheetViews>
  <sheetFormatPr defaultColWidth="8.6640625" defaultRowHeight="13.2" x14ac:dyDescent="0.25"/>
  <cols>
    <col min="3" max="3" width="26" bestFit="1" customWidth="1"/>
  </cols>
  <sheetData>
    <row r="1" spans="1:3" x14ac:dyDescent="0.25">
      <c r="A1" s="1" t="s">
        <v>0</v>
      </c>
      <c r="C1" s="1" t="s">
        <v>36</v>
      </c>
    </row>
    <row r="2" spans="1:3" x14ac:dyDescent="0.25">
      <c r="A2" t="s">
        <v>1</v>
      </c>
      <c r="C2" t="s">
        <v>37</v>
      </c>
    </row>
    <row r="3" spans="1:3" x14ac:dyDescent="0.25">
      <c r="A3" t="s">
        <v>2</v>
      </c>
      <c r="C3" t="s">
        <v>38</v>
      </c>
    </row>
    <row r="4" spans="1:3" x14ac:dyDescent="0.25">
      <c r="A4" t="s">
        <v>3</v>
      </c>
      <c r="C4" t="s">
        <v>39</v>
      </c>
    </row>
    <row r="5" spans="1:3" x14ac:dyDescent="0.25">
      <c r="A5" t="s">
        <v>4</v>
      </c>
      <c r="C5" t="s">
        <v>40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10</v>
      </c>
    </row>
    <row r="12" spans="1:3" x14ac:dyDescent="0.25">
      <c r="A12" t="s">
        <v>11</v>
      </c>
    </row>
    <row r="13" spans="1:3" x14ac:dyDescent="0.25">
      <c r="A13" t="s">
        <v>12</v>
      </c>
    </row>
    <row r="14" spans="1:3" x14ac:dyDescent="0.25">
      <c r="A14" t="s">
        <v>14</v>
      </c>
    </row>
    <row r="15" spans="1:3" x14ac:dyDescent="0.25">
      <c r="A15" t="s">
        <v>15</v>
      </c>
    </row>
    <row r="16" spans="1:3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13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41</v>
      </c>
    </row>
    <row r="38" spans="1:1" x14ac:dyDescent="0.25">
      <c r="A38" t="s">
        <v>42</v>
      </c>
    </row>
    <row r="39" spans="1:1" x14ac:dyDescent="0.25">
      <c r="A39" t="s">
        <v>43</v>
      </c>
    </row>
    <row r="40" spans="1:1" x14ac:dyDescent="0.25">
      <c r="A40" t="s">
        <v>44</v>
      </c>
    </row>
    <row r="41" spans="1:1" x14ac:dyDescent="0.25">
      <c r="A41" t="s">
        <v>45</v>
      </c>
    </row>
    <row r="42" spans="1:1" x14ac:dyDescent="0.25">
      <c r="A42" t="s">
        <v>46</v>
      </c>
    </row>
    <row r="43" spans="1:1" x14ac:dyDescent="0.25">
      <c r="A43" t="s">
        <v>47</v>
      </c>
    </row>
    <row r="44" spans="1:1" x14ac:dyDescent="0.25">
      <c r="A44" t="s">
        <v>48</v>
      </c>
    </row>
    <row r="45" spans="1:1" x14ac:dyDescent="0.25">
      <c r="A45" t="s">
        <v>49</v>
      </c>
    </row>
    <row r="46" spans="1:1" x14ac:dyDescent="0.25">
      <c r="A46" t="s">
        <v>50</v>
      </c>
    </row>
  </sheetData>
  <phoneticPr fontId="2" type="noConversion"/>
  <pageMargins left="0.75" right="0.75" top="1" bottom="1" header="0.5" footer="0.5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M48"/>
  <sheetViews>
    <sheetView workbookViewId="0">
      <selection activeCell="G22" sqref="G22"/>
    </sheetView>
  </sheetViews>
  <sheetFormatPr defaultColWidth="8.6640625" defaultRowHeight="13.2" x14ac:dyDescent="0.25"/>
  <sheetData>
    <row r="3" spans="3:13" x14ac:dyDescent="0.25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3:13" x14ac:dyDescent="0.25">
      <c r="C4" s="22"/>
      <c r="D4" s="23" t="s">
        <v>66</v>
      </c>
      <c r="E4" s="22" t="s">
        <v>67</v>
      </c>
      <c r="F4" s="25" t="s">
        <v>68</v>
      </c>
      <c r="G4" s="25"/>
      <c r="H4" s="25"/>
      <c r="I4" s="22"/>
      <c r="J4" s="24" t="s">
        <v>70</v>
      </c>
      <c r="K4" s="24"/>
      <c r="L4" s="22">
        <v>2002</v>
      </c>
      <c r="M4" s="22"/>
    </row>
    <row r="5" spans="3:13" x14ac:dyDescent="0.25"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3:13" ht="13.8" x14ac:dyDescent="0.3">
      <c r="C6" s="22"/>
      <c r="D6" s="23" t="s">
        <v>69</v>
      </c>
      <c r="E6" s="22"/>
      <c r="F6" s="22"/>
      <c r="G6" s="22"/>
      <c r="H6" s="22"/>
      <c r="I6" s="22"/>
      <c r="J6" s="22"/>
      <c r="K6" s="22"/>
      <c r="L6" s="22"/>
      <c r="M6" s="22"/>
    </row>
    <row r="7" spans="3:13" x14ac:dyDescent="0.25"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3:13" x14ac:dyDescent="0.25">
      <c r="C8" s="22"/>
      <c r="D8" s="26" t="s">
        <v>36</v>
      </c>
      <c r="E8" s="26"/>
      <c r="F8" s="22"/>
      <c r="G8" s="22"/>
      <c r="H8" s="22"/>
      <c r="I8" s="22"/>
      <c r="J8" s="22"/>
      <c r="K8" s="22"/>
      <c r="L8" s="22"/>
      <c r="M8" s="22"/>
    </row>
    <row r="9" spans="3:13" x14ac:dyDescent="0.25"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3:13" x14ac:dyDescent="0.25"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3:13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3:13" x14ac:dyDescent="0.25"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3:13" x14ac:dyDescent="0.2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3:13" x14ac:dyDescent="0.25"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3:13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3:13" x14ac:dyDescent="0.25"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3:13" x14ac:dyDescent="0.25"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</row>
    <row r="18" spans="3:13" x14ac:dyDescent="0.25"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</row>
    <row r="48" spans="4:8" x14ac:dyDescent="0.25">
      <c r="D48">
        <v>1</v>
      </c>
      <c r="F48">
        <v>15</v>
      </c>
      <c r="H48">
        <v>2</v>
      </c>
    </row>
  </sheetData>
  <mergeCells count="3">
    <mergeCell ref="D8:E8"/>
    <mergeCell ref="F4:H4"/>
    <mergeCell ref="J4:K4"/>
  </mergeCells>
  <phoneticPr fontId="2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11</xdr:col>
                    <xdr:colOff>579120</xdr:colOff>
                    <xdr:row>2</xdr:row>
                    <xdr:rowOff>68580</xdr:rowOff>
                  </from>
                  <to>
                    <xdr:col>12</xdr:col>
                    <xdr:colOff>556260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9</xdr:col>
                    <xdr:colOff>213360</xdr:colOff>
                    <xdr:row>7</xdr:row>
                    <xdr:rowOff>99060</xdr:rowOff>
                  </from>
                  <to>
                    <xdr:col>10</xdr:col>
                    <xdr:colOff>502920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altText="Женский_x000a_">
                <anchor moveWithCells="1">
                  <from>
                    <xdr:col>9</xdr:col>
                    <xdr:colOff>220980</xdr:colOff>
                    <xdr:row>10</xdr:row>
                    <xdr:rowOff>15240</xdr:rowOff>
                  </from>
                  <to>
                    <xdr:col>10</xdr:col>
                    <xdr:colOff>274320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5</xdr:col>
                    <xdr:colOff>266700</xdr:colOff>
                    <xdr:row>4</xdr:row>
                    <xdr:rowOff>68580</xdr:rowOff>
                  </from>
                  <to>
                    <xdr:col>7</xdr:col>
                    <xdr:colOff>327660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5</xdr:col>
                    <xdr:colOff>297180</xdr:colOff>
                    <xdr:row>7</xdr:row>
                    <xdr:rowOff>76200</xdr:rowOff>
                  </from>
                  <to>
                    <xdr:col>7</xdr:col>
                    <xdr:colOff>358140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Макрос1">
                <anchor moveWithCells="1">
                  <from>
                    <xdr:col>9</xdr:col>
                    <xdr:colOff>525780</xdr:colOff>
                    <xdr:row>14</xdr:row>
                    <xdr:rowOff>38100</xdr:rowOff>
                  </from>
                  <to>
                    <xdr:col>11</xdr:col>
                    <xdr:colOff>327660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K21"/>
  <sheetViews>
    <sheetView tabSelected="1" workbookViewId="0">
      <selection activeCell="F19" sqref="F19"/>
    </sheetView>
  </sheetViews>
  <sheetFormatPr defaultColWidth="8.6640625" defaultRowHeight="13.2" x14ac:dyDescent="0.25"/>
  <cols>
    <col min="4" max="4" width="12.109375" customWidth="1"/>
    <col min="6" max="6" width="14.6640625" customWidth="1"/>
    <col min="7" max="7" width="10.44140625" customWidth="1"/>
    <col min="8" max="8" width="12.33203125" customWidth="1"/>
    <col min="9" max="9" width="5.88671875" customWidth="1"/>
    <col min="10" max="10" width="20.109375" customWidth="1"/>
  </cols>
  <sheetData>
    <row r="1" spans="2:11" ht="13.8" thickBot="1" x14ac:dyDescent="0.3"/>
    <row r="2" spans="2:11" x14ac:dyDescent="0.25">
      <c r="B2" s="2"/>
      <c r="C2" s="3"/>
      <c r="D2" s="3"/>
      <c r="E2" s="3"/>
      <c r="F2" s="3"/>
      <c r="G2" s="3"/>
      <c r="H2" s="3"/>
      <c r="I2" s="3"/>
      <c r="J2" s="3"/>
      <c r="K2" s="4"/>
    </row>
    <row r="3" spans="2:11" x14ac:dyDescent="0.25">
      <c r="B3" s="20" t="s">
        <v>62</v>
      </c>
      <c r="C3" s="21"/>
      <c r="D3" s="21"/>
      <c r="E3" s="21"/>
      <c r="F3" s="21"/>
      <c r="G3" s="6"/>
      <c r="H3" s="19" t="s">
        <v>51</v>
      </c>
      <c r="I3" s="19"/>
      <c r="J3" s="6"/>
      <c r="K3" s="7"/>
    </row>
    <row r="4" spans="2:11" x14ac:dyDescent="0.25">
      <c r="B4" s="20"/>
      <c r="C4" s="21"/>
      <c r="D4" s="21"/>
      <c r="E4" s="21"/>
      <c r="F4" s="21"/>
      <c r="G4" s="6"/>
      <c r="H4" s="6"/>
      <c r="I4" s="6"/>
      <c r="J4" s="6"/>
      <c r="K4" s="7"/>
    </row>
    <row r="5" spans="2:11" ht="15.6" x14ac:dyDescent="0.3">
      <c r="B5" s="5"/>
      <c r="C5" s="6"/>
      <c r="D5" s="6"/>
      <c r="E5" s="6"/>
      <c r="F5" s="6"/>
      <c r="G5" s="6" t="s">
        <v>52</v>
      </c>
      <c r="H5" s="8" t="s">
        <v>53</v>
      </c>
      <c r="I5" s="9"/>
      <c r="J5" s="9" t="str">
        <f>Форма!F4</f>
        <v xml:space="preserve">Иванову Ивану Ивановичу </v>
      </c>
      <c r="K5" s="7"/>
    </row>
    <row r="6" spans="2:11" ht="15.6" x14ac:dyDescent="0.3">
      <c r="B6" s="20" t="s">
        <v>63</v>
      </c>
      <c r="C6" s="21"/>
      <c r="D6" s="21"/>
      <c r="E6" s="21"/>
      <c r="F6" s="21"/>
      <c r="G6" s="6"/>
      <c r="H6" s="8" t="s">
        <v>61</v>
      </c>
      <c r="I6" s="9"/>
      <c r="J6" s="9">
        <f>Форма!L4</f>
        <v>2002</v>
      </c>
      <c r="K6" s="7"/>
    </row>
    <row r="7" spans="2:11" ht="15.6" x14ac:dyDescent="0.3">
      <c r="B7" s="20"/>
      <c r="C7" s="21"/>
      <c r="D7" s="21"/>
      <c r="E7" s="21"/>
      <c r="F7" s="21"/>
      <c r="G7" s="6" t="s">
        <v>59</v>
      </c>
      <c r="H7" s="18" t="str">
        <f>IF(Форма!D48=1, "он", "она")</f>
        <v>он</v>
      </c>
      <c r="I7" s="6" t="s">
        <v>60</v>
      </c>
      <c r="J7" s="6"/>
      <c r="K7" s="7"/>
    </row>
    <row r="8" spans="2:11" x14ac:dyDescent="0.25">
      <c r="B8" s="5"/>
      <c r="C8" s="6"/>
      <c r="D8" s="6"/>
      <c r="E8" s="6"/>
      <c r="F8" s="6"/>
      <c r="G8" s="6" t="s">
        <v>54</v>
      </c>
      <c r="H8" s="6"/>
      <c r="I8" s="6"/>
      <c r="J8" s="9" t="str" cm="1">
        <f t="array" ref="J8">INDEX(Таблицы!A2:A46, Форма!F48)</f>
        <v>MT-303</v>
      </c>
      <c r="K8" s="7"/>
    </row>
    <row r="9" spans="2:11" ht="15.6" x14ac:dyDescent="0.3">
      <c r="B9" s="5"/>
      <c r="D9" s="27">
        <f ca="1">TODAY()</f>
        <v>44160</v>
      </c>
      <c r="G9" s="6"/>
      <c r="H9" s="6"/>
      <c r="I9" s="6"/>
      <c r="J9" s="6"/>
      <c r="K9" s="7"/>
    </row>
    <row r="10" spans="2:11" x14ac:dyDescent="0.25">
      <c r="B10" s="10"/>
      <c r="C10" s="11"/>
      <c r="D10" s="11"/>
      <c r="E10" s="11"/>
      <c r="F10" s="11"/>
      <c r="G10" s="11" t="s">
        <v>55</v>
      </c>
      <c r="H10" s="11"/>
      <c r="I10" s="9"/>
      <c r="J10" s="9" t="str" cm="1">
        <f t="array" ref="J10">INDEX(Таблицы!C2:C5,Форма!H48)</f>
        <v>механика</v>
      </c>
      <c r="K10" s="7"/>
    </row>
    <row r="11" spans="2:11" ht="13.8" thickBot="1" x14ac:dyDescent="0.3">
      <c r="B11" s="5"/>
      <c r="C11" s="12" t="s">
        <v>56</v>
      </c>
      <c r="D11" s="13"/>
      <c r="E11" s="6"/>
      <c r="F11" s="6"/>
      <c r="G11" s="21" t="s">
        <v>64</v>
      </c>
      <c r="H11" s="21"/>
      <c r="I11" s="21"/>
      <c r="J11" s="21"/>
      <c r="K11" s="7"/>
    </row>
    <row r="12" spans="2:11" x14ac:dyDescent="0.25">
      <c r="B12" s="5"/>
      <c r="C12" s="6"/>
      <c r="D12" s="6"/>
      <c r="E12" s="6"/>
      <c r="F12" s="6"/>
      <c r="G12" s="21"/>
      <c r="H12" s="21"/>
      <c r="I12" s="21"/>
      <c r="J12" s="21"/>
      <c r="K12" s="7"/>
    </row>
    <row r="13" spans="2:11" x14ac:dyDescent="0.25">
      <c r="B13" s="5"/>
      <c r="C13" s="6"/>
      <c r="D13" s="6"/>
      <c r="E13" s="6"/>
      <c r="F13" s="6"/>
      <c r="G13" s="6"/>
      <c r="H13" s="6"/>
      <c r="I13" s="6"/>
      <c r="J13" s="6"/>
      <c r="K13" s="7"/>
    </row>
    <row r="14" spans="2:11" x14ac:dyDescent="0.25">
      <c r="B14" s="5"/>
      <c r="C14" s="6"/>
      <c r="D14" s="6"/>
      <c r="E14" s="6"/>
      <c r="F14" s="6"/>
      <c r="G14" s="6" t="s">
        <v>57</v>
      </c>
      <c r="H14" s="6"/>
      <c r="I14" s="6"/>
      <c r="J14" s="6"/>
      <c r="K14" s="7"/>
    </row>
    <row r="15" spans="2:11" x14ac:dyDescent="0.25">
      <c r="B15" s="5"/>
      <c r="C15" s="6"/>
      <c r="D15" s="6"/>
      <c r="E15" s="6"/>
      <c r="F15" s="6"/>
      <c r="G15" s="9"/>
      <c r="H15" s="9" t="str">
        <f>IF($D$11="","",LOOKUP($D$11,номер,куда))</f>
        <v/>
      </c>
      <c r="I15" s="9"/>
      <c r="J15" s="9"/>
      <c r="K15" s="7"/>
    </row>
    <row r="16" spans="2:11" x14ac:dyDescent="0.25">
      <c r="B16" s="5"/>
      <c r="C16" s="6"/>
      <c r="D16" s="6"/>
      <c r="E16" s="6"/>
      <c r="F16" s="6"/>
      <c r="G16" s="6"/>
      <c r="H16" s="6"/>
      <c r="I16" s="6"/>
      <c r="J16" s="6"/>
      <c r="K16" s="7"/>
    </row>
    <row r="17" spans="2:11" x14ac:dyDescent="0.25">
      <c r="B17" s="5"/>
      <c r="C17" s="6"/>
      <c r="D17" s="6"/>
      <c r="E17" s="6"/>
      <c r="F17" s="6"/>
      <c r="G17" s="6"/>
      <c r="H17" s="6"/>
      <c r="I17" s="6"/>
      <c r="J17" s="6"/>
      <c r="K17" s="7"/>
    </row>
    <row r="18" spans="2:11" ht="13.8" thickBot="1" x14ac:dyDescent="0.3">
      <c r="B18" s="5"/>
      <c r="C18" s="6"/>
      <c r="D18" s="6"/>
      <c r="E18" s="6"/>
      <c r="F18" s="6"/>
      <c r="G18" s="6" t="s">
        <v>65</v>
      </c>
      <c r="H18" s="6"/>
      <c r="I18" s="14"/>
      <c r="J18" s="14"/>
      <c r="K18" s="7"/>
    </row>
    <row r="19" spans="2:11" ht="34.5" customHeight="1" thickBot="1" x14ac:dyDescent="0.3">
      <c r="B19" s="5"/>
      <c r="C19" s="6"/>
      <c r="D19" s="6"/>
      <c r="E19" s="6"/>
      <c r="F19" s="6"/>
      <c r="G19" s="6" t="s">
        <v>58</v>
      </c>
      <c r="H19" s="14"/>
      <c r="I19" s="15"/>
      <c r="J19" s="15"/>
      <c r="K19" s="7"/>
    </row>
    <row r="20" spans="2:11" x14ac:dyDescent="0.25">
      <c r="B20" s="5"/>
      <c r="C20" s="6"/>
      <c r="D20" s="6"/>
      <c r="E20" s="6"/>
      <c r="F20" s="6"/>
      <c r="G20" s="6"/>
      <c r="H20" s="6"/>
      <c r="I20" s="6"/>
      <c r="J20" s="6"/>
      <c r="K20" s="7"/>
    </row>
    <row r="21" spans="2:11" ht="13.8" thickBot="1" x14ac:dyDescent="0.3">
      <c r="B21" s="16"/>
      <c r="C21" s="14"/>
      <c r="D21" s="14"/>
      <c r="E21" s="14"/>
      <c r="F21" s="14"/>
      <c r="G21" s="14"/>
      <c r="H21" s="14"/>
      <c r="I21" s="14"/>
      <c r="J21" s="14"/>
      <c r="K21" s="17"/>
    </row>
  </sheetData>
  <mergeCells count="4">
    <mergeCell ref="H3:I3"/>
    <mergeCell ref="B3:F4"/>
    <mergeCell ref="B6:F7"/>
    <mergeCell ref="G11:J12"/>
  </mergeCells>
  <phoneticPr fontId="2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Таблицы</vt:lpstr>
      <vt:lpstr>Форма</vt:lpstr>
      <vt:lpstr>Справка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</dc:creator>
  <cp:lastModifiedBy>Gizon</cp:lastModifiedBy>
  <dcterms:created xsi:type="dcterms:W3CDTF">2007-04-11T15:04:06Z</dcterms:created>
  <dcterms:modified xsi:type="dcterms:W3CDTF">2020-11-25T07:23:29Z</dcterms:modified>
</cp:coreProperties>
</file>